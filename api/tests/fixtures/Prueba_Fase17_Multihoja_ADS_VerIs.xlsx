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a8111b5fa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Enero" sheetId="1" r:id="Rda6a8b329c0b4237"/>
    <x:sheet xmlns:r="http://schemas.openxmlformats.org/officeDocument/2006/relationships" name="Ventas_Febrero" sheetId="2" r:id="Rcbe395e6e4db48a9"/>
    <x:sheet xmlns:r="http://schemas.openxmlformats.org/officeDocument/2006/relationships" name="Productos" sheetId="3" r:id="R4acb35c05dd4491c"/>
    <x:sheet xmlns:r="http://schemas.openxmlformats.org/officeDocument/2006/relationships" name="Promociones" sheetId="4" r:id="R115eef30c1f64dda"/>
    <x:sheet xmlns:r="http://schemas.openxmlformats.org/officeDocument/2006/relationships" name="LEEME_No_Procesar" sheetId="5" r:id="R42b27d0ba85d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&quot;%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233F"/>
      </x:patternFill>
    </x:fill>
    <x:fill>
      <x:patternFill patternType="solid">
        <x:fgColor rgb="FF0F8B8D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FFF6DF"/>
        </x:patternFill>
      </x:fill>
    </x:dxf>
    <x:dxf>
      <x:fill>
        <x:patternFill patternType="solid">
          <x:bgColor rgb="FFFFF6DF"/>
        </x:patternFill>
      </x:fill>
    </x:dxf>
    <x:dxf>
      <x:fill>
        <x:patternFill patternType="solid">
          <x:bgColor rgb="FFFFF6DF"/>
        </x:patternFill>
      </x:fill>
    </x:dxf>
    <x:dxf>
      <x:fill>
        <x:patternFill patternType="solid">
          <x:bgColor rgb="FFFFF6DF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6DF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e0aa6b20f4d9f" /><Relationship Type="http://schemas.openxmlformats.org/officeDocument/2006/relationships/theme" Target="/xl/theme/theme1.xml" Id="Rb8f64bd40e43478b" /><Relationship Type="http://schemas.openxmlformats.org/officeDocument/2006/relationships/sharedStrings" Target="/xl/sharedStrings.xml" Id="Rdc692ad88cb24d2c" /><Relationship Type="http://schemas.openxmlformats.org/officeDocument/2006/relationships/worksheet" Target="/xl/worksheets/sheet1.xml" Id="Rda6a8b329c0b4237" /><Relationship Type="http://schemas.openxmlformats.org/officeDocument/2006/relationships/worksheet" Target="/xl/worksheets/sheet2.xml" Id="Rcbe395e6e4db48a9" /><Relationship Type="http://schemas.openxmlformats.org/officeDocument/2006/relationships/worksheet" Target="/xl/worksheets/sheet3.xml" Id="R4acb35c05dd4491c" /><Relationship Type="http://schemas.openxmlformats.org/officeDocument/2006/relationships/worksheet" Target="/xl/worksheets/sheet4.xml" Id="R115eef30c1f64dda" /><Relationship Type="http://schemas.openxmlformats.org/officeDocument/2006/relationships/worksheet" Target="/xl/worksheets/sheet5.xml" Id="R42b27d0ba85d41b9" /></Relationships>
</file>

<file path=xl/tables/table1.xml><?xml version="1.0" encoding="utf-8"?>
<x:table xmlns:x="http://schemas.openxmlformats.org/spreadsheetml/2006/main" id="1" name="VentasEneroTable" displayName="VentasEneroTable" ref="A1:J14" headerRowCount="1">
  <x:tableColumns count="10">
    <x:tableColumn id="1" name="ID_Venta"/>
    <x:tableColumn id="2" name="Fecha"/>
    <x:tableColumn id="3" name="ID_Producto"/>
    <x:tableColumn id="4" name="Cantidad"/>
    <x:tableColumn id="5" name="Monto"/>
    <x:tableColumn id="6" name="Canal"/>
    <x:tableColumn id="7" name="Sucursal"/>
    <x:tableColumn id="8" name="ID_Cliente"/>
    <x:tableColumn id="9" name="TipoCliente"/>
    <x:tableColumn id="10" name="Vendedor"/>
  </x:tableColumns>
  <x:tableStyleInfo name="TableStyleMedium2" showRowStripes="1"/>
</x:table>
</file>

<file path=xl/tables/table2.xml><?xml version="1.0" encoding="utf-8"?>
<x:table xmlns:x="http://schemas.openxmlformats.org/spreadsheetml/2006/main" id="2" name="VentasFebreroTable" displayName="VentasFebreroTable" ref="A1:J12" headerRowCount="1">
  <x:tableColumns count="10">
    <x:tableColumn id="1" name="ID_Venta"/>
    <x:tableColumn id="2" name="Fecha"/>
    <x:tableColumn id="3" name="ID_Producto"/>
    <x:tableColumn id="4" name="Cantidad"/>
    <x:tableColumn id="5" name="Monto"/>
    <x:tableColumn id="6" name="Canal"/>
    <x:tableColumn id="7" name="Sucursal"/>
    <x:tableColumn id="8" name="ID_Cliente"/>
    <x:tableColumn id="9" name="TipoCliente"/>
    <x:tableColumn id="10" name="Vendedor"/>
  </x:tableColumns>
  <x:tableStyleInfo name="TableStyleMedium2" showRowStripes="1"/>
</x:table>
</file>

<file path=xl/tables/table3.xml><?xml version="1.0" encoding="utf-8"?>
<x:table xmlns:x="http://schemas.openxmlformats.org/spreadsheetml/2006/main" id="3" name="ProductosTable" displayName="ProductosTable" ref="A1:F9" headerRowCount="1">
  <x:tableColumns count="6">
    <x:tableColumn id="1" name="ID_Producto"/>
    <x:tableColumn id="2" name="Producto"/>
    <x:tableColumn id="3" name="Categoria"/>
    <x:tableColumn id="4" name="Costo_Unitario"/>
    <x:tableColumn id="5" name="Marca"/>
    <x:tableColumn id="6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PromocionesTable" displayName="PromocionesTable" ref="A1:F13" headerRowCount="1">
  <x:tableColumns count="6">
    <x:tableColumn id="1" name="ID_Promocion"/>
    <x:tableColumn id="2" name="ID_Producto"/>
    <x:tableColumn id="3" name="Canal"/>
    <x:tableColumn id="4" name="Descuento_Pct"/>
    <x:tableColumn id="5" name="Inicio"/>
    <x:tableColumn id="6" name="F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9784d3e3de42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d3da71989f4e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0aaf207dfd4e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044b5454c441b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5" hidden="0" customWidth="1"/>
    <x:col min="9" max="9" width="16" hidden="0" customWidth="1"/>
    <x:col min="10" max="10" width="13" hidden="0" customWidth="1"/>
  </x:cols>
  <x:sheetData>
    <x:row r="1" ht="25" customHeight="1">
      <x:c r="A1" s="10" t="str">
        <x:v>ID_Venta</x:v>
      </x:c>
      <x:c r="B1" s="10" t="str">
        <x:v>Fecha</x:v>
      </x:c>
      <x:c r="C1" s="10" t="str">
        <x:v>ID_Producto</x:v>
      </x:c>
      <x:c r="D1" s="10" t="str">
        <x:v>Cantidad</x:v>
      </x:c>
      <x:c r="E1" s="10" t="str">
        <x:v>Monto</x:v>
      </x:c>
      <x:c r="F1" s="10" t="str">
        <x:v>Canal</x:v>
      </x:c>
      <x:c r="G1" s="10" t="str">
        <x:v>Sucursal</x:v>
      </x:c>
      <x:c r="H1" s="10" t="str">
        <x:v>ID_Cliente</x:v>
      </x:c>
      <x:c r="I1" s="10" t="str">
        <x:v>TipoCliente</x:v>
      </x:c>
      <x:c r="J1" s="10" t="str">
        <x:v>Vendedor</x:v>
      </x:c>
    </x:row>
    <x:row r="2">
      <x:c r="A2" s="14" t="str">
        <x:v>V-ENE-001</x:v>
      </x:c>
      <x:c r="B2" s="14" t="str">
        <x:v>03/01/2026</x:v>
      </x:c>
      <x:c r="C2" s="14" t="str">
        <x:v>P-001</x:v>
      </x:c>
      <x:c r="D2" s="14" t="n">
        <x:v>2</x:v>
      </x:c>
      <x:c r="E2" s="16" t="n">
        <x:v>179980</x:v>
      </x:c>
      <x:c r="F2" s="14" t="str">
        <x:v>Online</x:v>
      </x:c>
      <x:c r="G2" s="14" t="str"/>
      <x:c r="H2" s="14" t="str">
        <x:v>C-001</x:v>
      </x:c>
      <x:c r="I2" s="14" t="str">
        <x:v>Persona</x:v>
      </x:c>
      <x:c r="J2" s="14" t="str">
        <x:v>VEN-01</x:v>
      </x:c>
    </x:row>
    <x:row r="3">
      <x:c r="A3" s="14" t="str">
        <x:v>V-ENE-002</x:v>
      </x:c>
      <x:c r="B3" s="14" t="str">
        <x:v>2026-01-05</x:v>
      </x:c>
      <x:c r="C3" s="14" t="str">
        <x:v>P-002</x:v>
      </x:c>
      <x:c r="D3" s="14" t="n">
        <x:v>1</x:v>
      </x:c>
      <x:c r="E3" s="16" t="n">
        <x:v>249990</x:v>
      </x:c>
      <x:c r="F3" s="14" t="str">
        <x:v>Tienda</x:v>
      </x:c>
      <x:c r="G3" s="14" t="str">
        <x:v>Centro</x:v>
      </x:c>
      <x:c r="H3" s="14" t="str">
        <x:v>C-002</x:v>
      </x:c>
      <x:c r="I3" s="14" t="str">
        <x:v>Empresa</x:v>
      </x:c>
      <x:c r="J3" s="14" t="str">
        <x:v>VEN-02</x:v>
      </x:c>
    </x:row>
    <x:row r="4">
      <x:c r="A4" s="14" t="str">
        <x:v>V-ENE-003</x:v>
      </x:c>
      <x:c r="B4" s="14" t="str">
        <x:v>07-01-2026</x:v>
      </x:c>
      <x:c r="C4" s="14" t="str">
        <x:v>P-003</x:v>
      </x:c>
      <x:c r="D4" s="14" t="n">
        <x:v>3</x:v>
      </x:c>
      <x:c r="E4" s="16" t="n">
        <x:v>149970</x:v>
      </x:c>
      <x:c r="F4" s="14" t="str">
        <x:v>online </x:v>
      </x:c>
      <x:c r="G4" s="14" t="str"/>
      <x:c r="H4" s="14" t="str">
        <x:v>C-003</x:v>
      </x:c>
      <x:c r="I4" s="14" t="str">
        <x:v>Persona</x:v>
      </x:c>
      <x:c r="J4" s="14" t="str">
        <x:v>VEN-01</x:v>
      </x:c>
    </x:row>
    <x:row r="5">
      <x:c r="A5" s="14" t="str">
        <x:v>V-ENE-004</x:v>
      </x:c>
      <x:c r="B5" s="14" t="str">
        <x:v>09/01/2026</x:v>
      </x:c>
      <x:c r="C5" s="14" t="str">
        <x:v>P-004</x:v>
      </x:c>
      <x:c r="D5" s="14" t="n">
        <x:v>1</x:v>
      </x:c>
      <x:c r="E5" s="16" t="n">
        <x:v>329990</x:v>
      </x:c>
      <x:c r="F5" s="14" t="str">
        <x:v>TIENDA</x:v>
      </x:c>
      <x:c r="G5" s="14" t="str">
        <x:v>Norte</x:v>
      </x:c>
      <x:c r="H5" s="14" t="str">
        <x:v>C-004</x:v>
      </x:c>
      <x:c r="I5" s="14" t="str">
        <x:v>Mayorista</x:v>
      </x:c>
      <x:c r="J5" s="14" t="str">
        <x:v>VEN-03</x:v>
      </x:c>
    </x:row>
    <x:row r="6">
      <x:c r="A6" s="14" t="str">
        <x:v>V-ENE-005</x:v>
      </x:c>
      <x:c r="B6" s="14" t="str">
        <x:v>2026/01/12</x:v>
      </x:c>
      <x:c r="C6" s="14" t="str">
        <x:v>P-005</x:v>
      </x:c>
      <x:c r="D6" s="14" t="n">
        <x:v>4</x:v>
      </x:c>
      <x:c r="E6" s="16" t="n">
        <x:v>119960</x:v>
      </x:c>
      <x:c r="F6" s="14" t="str">
        <x:v>Marketplace</x:v>
      </x:c>
      <x:c r="G6" s="14" t="str"/>
      <x:c r="H6" s="14" t="str">
        <x:v>C-005</x:v>
      </x:c>
      <x:c r="I6" s="14" t="str">
        <x:v>Persona</x:v>
      </x:c>
      <x:c r="J6" s="14" t="str">
        <x:v>VEN-02</x:v>
      </x:c>
    </x:row>
    <x:row r="7">
      <x:c r="A7" s="14" t="str">
        <x:v>V-ENE-006</x:v>
      </x:c>
      <x:c r="B7" s="14" t="str">
        <x:v>15-01-2026</x:v>
      </x:c>
      <x:c r="C7" s="14" t="str">
        <x:v>P-001</x:v>
      </x:c>
      <x:c r="D7" s="14" t="n">
        <x:v>1</x:v>
      </x:c>
      <x:c r="E7" s="16" t="n">
        <x:v>89990</x:v>
      </x:c>
      <x:c r="F7" s="14" t="str">
        <x:v>Online</x:v>
      </x:c>
      <x:c r="G7" s="14" t="str"/>
      <x:c r="H7" s="14" t="str"/>
      <x:c r="I7" s="14" t="str">
        <x:v>Persona</x:v>
      </x:c>
      <x:c r="J7" s="14" t="str">
        <x:v>VEN-01</x:v>
      </x:c>
    </x:row>
    <x:row r="8">
      <x:c r="A8" s="14" t="str">
        <x:v>V-ENE-007</x:v>
      </x:c>
      <x:c r="B8" s="14" t="str">
        <x:v>18/01/2026</x:v>
      </x:c>
      <x:c r="C8" s="14" t="str">
        <x:v>P-006</x:v>
      </x:c>
      <x:c r="D8" s="14" t="n">
        <x:v>2</x:v>
      </x:c>
      <x:c r="E8" s="16" t="n">
        <x:v>139980</x:v>
      </x:c>
      <x:c r="F8" s="14" t="str">
        <x:v>Tienda </x:v>
      </x:c>
      <x:c r="G8" s="14" t="str">
        <x:v>Centro</x:v>
      </x:c>
      <x:c r="H8" s="14" t="str">
        <x:v>C-006</x:v>
      </x:c>
      <x:c r="I8" s="14" t="str">
        <x:v>Empresa</x:v>
      </x:c>
      <x:c r="J8" s="14" t="str">
        <x:v>VEN-04</x:v>
      </x:c>
    </x:row>
    <x:row r="9">
      <x:c r="A9" s="14" t="str">
        <x:v>V-ENE-008</x:v>
      </x:c>
      <x:c r="B9" s="14" t="str">
        <x:v>2026-01-21</x:v>
      </x:c>
      <x:c r="C9" s="14" t="str">
        <x:v>P-007</x:v>
      </x:c>
      <x:c r="D9" s="14" t="n">
        <x:v>5</x:v>
      </x:c>
      <x:c r="E9" s="16" t="n">
        <x:v>199950</x:v>
      </x:c>
      <x:c r="F9" s="14" t="str">
        <x:v>Marketplace</x:v>
      </x:c>
      <x:c r="G9" s="14" t="str"/>
      <x:c r="H9" s="14" t="str">
        <x:v>C-007</x:v>
      </x:c>
      <x:c r="I9" s="14" t="str">
        <x:v>Mayorista</x:v>
      </x:c>
      <x:c r="J9" s="14" t="str">
        <x:v>VEN-02</x:v>
      </x:c>
    </x:row>
    <x:row r="10">
      <x:c r="A10" s="14" t="str">
        <x:v>V-ENE-009</x:v>
      </x:c>
      <x:c r="B10" s="14" t="str">
        <x:v>23-01-2026</x:v>
      </x:c>
      <x:c r="C10" s="14" t="str">
        <x:v>P-003</x:v>
      </x:c>
      <x:c r="D10" s="14" t="n">
        <x:v>2</x:v>
      </x:c>
      <x:c r="E10" s="16" t="n">
        <x:v>99980</x:v>
      </x:c>
      <x:c r="F10" s="14" t="str">
        <x:v>ONLINE</x:v>
      </x:c>
      <x:c r="G10" s="14" t="str"/>
      <x:c r="H10" s="14" t="str">
        <x:v>C-008</x:v>
      </x:c>
      <x:c r="I10" s="14" t="str">
        <x:v>Persona</x:v>
      </x:c>
      <x:c r="J10" s="14" t="str">
        <x:v>VEN-01</x:v>
      </x:c>
    </x:row>
    <x:row r="11">
      <x:c r="A11" s="14" t="str">
        <x:v>V-ENE-010</x:v>
      </x:c>
      <x:c r="B11" s="14" t="str">
        <x:v>26/01/2026</x:v>
      </x:c>
      <x:c r="C11" s="14" t="str">
        <x:v>P-008</x:v>
      </x:c>
      <x:c r="D11" s="14" t="n">
        <x:v>1</x:v>
      </x:c>
      <x:c r="E11" s="16" t="n">
        <x:v>459990</x:v>
      </x:c>
      <x:c r="F11" s="14" t="str">
        <x:v>Tienda</x:v>
      </x:c>
      <x:c r="G11" s="14" t="str">
        <x:v>Sur</x:v>
      </x:c>
      <x:c r="H11" s="14" t="str">
        <x:v>C-009</x:v>
      </x:c>
      <x:c r="I11" s="14" t="str">
        <x:v>Empresa</x:v>
      </x:c>
      <x:c r="J11" s="14" t="str">
        <x:v>VEN-03</x:v>
      </x:c>
    </x:row>
    <x:row r="12">
      <x:c r="A12" s="14" t="str">
        <x:v>V-ENE-011</x:v>
      </x:c>
      <x:c r="B12" s="14" t="str">
        <x:v>2026/01/28</x:v>
      </x:c>
      <x:c r="C12" s="14" t="str">
        <x:v>P-002</x:v>
      </x:c>
      <x:c r="D12" s="14" t="n">
        <x:v>2</x:v>
      </x:c>
      <x:c r="E12" s="16" t="n">
        <x:v>499980</x:v>
      </x:c>
      <x:c r="F12" s="14" t="str">
        <x:v>Tienda</x:v>
      </x:c>
      <x:c r="G12" s="14" t="str">
        <x:v>Centro</x:v>
      </x:c>
      <x:c r="H12" s="14" t="str">
        <x:v>C-010</x:v>
      </x:c>
      <x:c r="I12" s="14" t="str">
        <x:v>Mayorista</x:v>
      </x:c>
      <x:c r="J12" s="14" t="str">
        <x:v>VEN-02</x:v>
      </x:c>
    </x:row>
    <x:row r="13">
      <x:c r="A13" s="14" t="str">
        <x:v>V-ENE-012</x:v>
      </x:c>
      <x:c r="B13" s="14" t="str">
        <x:v>30-01-2026</x:v>
      </x:c>
      <x:c r="C13" s="14" t="str">
        <x:v>P-005</x:v>
      </x:c>
      <x:c r="D13" s="14" t="n">
        <x:v>3</x:v>
      </x:c>
      <x:c r="E13" s="16" t="n">
        <x:v>89970</x:v>
      </x:c>
      <x:c r="F13" s="14" t="str">
        <x:v>Marketplace </x:v>
      </x:c>
      <x:c r="G13" s="14" t="str"/>
      <x:c r="H13" s="14" t="str">
        <x:v>C-011</x:v>
      </x:c>
      <x:c r="I13" s="14" t="str">
        <x:v>Persona</x:v>
      </x:c>
      <x:c r="J13" s="14" t="str">
        <x:v>VEN-04</x:v>
      </x:c>
    </x:row>
    <x:row r="14">
      <x:c r="A14" s="14" t="str">
        <x:v>V-ENE-012</x:v>
      </x:c>
      <x:c r="B14" s="14" t="str">
        <x:v>30-01-2026</x:v>
      </x:c>
      <x:c r="C14" s="14" t="str">
        <x:v>P-005</x:v>
      </x:c>
      <x:c r="D14" s="14" t="n">
        <x:v>3</x:v>
      </x:c>
      <x:c r="E14" s="16" t="n">
        <x:v>89970</x:v>
      </x:c>
      <x:c r="F14" s="14" t="str">
        <x:v>Marketplace </x:v>
      </x:c>
      <x:c r="G14" s="14" t="str"/>
      <x:c r="H14" s="14" t="str">
        <x:v>C-011</x:v>
      </x:c>
      <x:c r="I14" s="14" t="str">
        <x:v>Persona</x:v>
      </x:c>
      <x:c r="J14" s="14" t="str">
        <x:v>VEN-04</x:v>
      </x:c>
    </x:row>
  </x:sheetData>
  <x:conditionalFormatting sqref="F2:F14">
    <x:cfRule type="expression" dxfId="0" priority="1">
      <x:formula>OR(F2="online ",F2="ONLINE",F2="TIENDA",F2="Tienda ",F2="Marketplace ")</x:formula>
    </x:cfRule>
  </x:conditionalFormatting>
  <x:conditionalFormatting sqref="H2:H14">
    <x:cfRule type="expression" dxfId="1" priority="2">
      <x:formula>H2=""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9784d3e3de42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5" hidden="0" customWidth="1"/>
    <x:col min="9" max="9" width="16" hidden="0" customWidth="1"/>
    <x:col min="10" max="10" width="13" hidden="0" customWidth="1"/>
  </x:cols>
  <x:sheetData>
    <x:row r="1" ht="25" customHeight="1">
      <x:c r="A1" s="10" t="str">
        <x:v>ID_Venta</x:v>
      </x:c>
      <x:c r="B1" s="10" t="str">
        <x:v>Fecha</x:v>
      </x:c>
      <x:c r="C1" s="10" t="str">
        <x:v>ID_Producto</x:v>
      </x:c>
      <x:c r="D1" s="10" t="str">
        <x:v>Cantidad</x:v>
      </x:c>
      <x:c r="E1" s="10" t="str">
        <x:v>Monto</x:v>
      </x:c>
      <x:c r="F1" s="10" t="str">
        <x:v>Canal</x:v>
      </x:c>
      <x:c r="G1" s="10" t="str">
        <x:v>Sucursal</x:v>
      </x:c>
      <x:c r="H1" s="10" t="str">
        <x:v>ID_Cliente</x:v>
      </x:c>
      <x:c r="I1" s="10" t="str">
        <x:v>TipoCliente</x:v>
      </x:c>
      <x:c r="J1" s="10" t="str">
        <x:v>Vendedor</x:v>
      </x:c>
    </x:row>
    <x:row r="2">
      <x:c r="A2" s="14" t="str">
        <x:v>V-FEB-001</x:v>
      </x:c>
      <x:c r="B2" s="14" t="str">
        <x:v>01/02/2026</x:v>
      </x:c>
      <x:c r="C2" s="14" t="str">
        <x:v>P-001</x:v>
      </x:c>
      <x:c r="D2" s="14" t="n">
        <x:v>1</x:v>
      </x:c>
      <x:c r="E2" s="16" t="n">
        <x:v>89990</x:v>
      </x:c>
      <x:c r="F2" s="14" t="str">
        <x:v>Online</x:v>
      </x:c>
      <x:c r="G2" s="14" t="str"/>
      <x:c r="H2" s="14" t="str">
        <x:v>C-012</x:v>
      </x:c>
      <x:c r="I2" s="14" t="str">
        <x:v>Persona</x:v>
      </x:c>
      <x:c r="J2" s="14" t="str">
        <x:v>VEN-01</x:v>
      </x:c>
    </x:row>
    <x:row r="3">
      <x:c r="A3" s="14" t="str">
        <x:v>V-FEB-002</x:v>
      </x:c>
      <x:c r="B3" s="14" t="str">
        <x:v>2026-02-03</x:v>
      </x:c>
      <x:c r="C3" s="14" t="str">
        <x:v>P-004</x:v>
      </x:c>
      <x:c r="D3" s="14" t="n">
        <x:v>2</x:v>
      </x:c>
      <x:c r="E3" s="16" t="n">
        <x:v>659980</x:v>
      </x:c>
      <x:c r="F3" s="14" t="str">
        <x:v>Tienda</x:v>
      </x:c>
      <x:c r="G3" s="14" t="str">
        <x:v>Norte</x:v>
      </x:c>
      <x:c r="H3" s="14" t="str">
        <x:v>C-013</x:v>
      </x:c>
      <x:c r="I3" s="14" t="str">
        <x:v>Empresa</x:v>
      </x:c>
      <x:c r="J3" s="14" t="str">
        <x:v>VEN-03</x:v>
      </x:c>
    </x:row>
    <x:row r="4">
      <x:c r="A4" s="14" t="str">
        <x:v>V-FEB-003</x:v>
      </x:c>
      <x:c r="B4" s="14" t="str">
        <x:v>05-02-2026</x:v>
      </x:c>
      <x:c r="C4" s="14" t="str">
        <x:v>P-002</x:v>
      </x:c>
      <x:c r="D4" s="14" t="n">
        <x:v>1</x:v>
      </x:c>
      <x:c r="E4" s="16" t="n">
        <x:v>249990</x:v>
      </x:c>
      <x:c r="F4" s="14" t="str">
        <x:v>TIENDA</x:v>
      </x:c>
      <x:c r="G4" s="14" t="str">
        <x:v>Centro</x:v>
      </x:c>
      <x:c r="H4" s="14" t="str">
        <x:v>C-014</x:v>
      </x:c>
      <x:c r="I4" s="14" t="str">
        <x:v>Persona</x:v>
      </x:c>
      <x:c r="J4" s="14" t="str">
        <x:v>VEN-02</x:v>
      </x:c>
    </x:row>
    <x:row r="5">
      <x:c r="A5" s="14" t="str">
        <x:v>V-FEB-004</x:v>
      </x:c>
      <x:c r="B5" s="14" t="str">
        <x:v>2026/02/08</x:v>
      </x:c>
      <x:c r="C5" s="14" t="str">
        <x:v>P-006</x:v>
      </x:c>
      <x:c r="D5" s="14" t="n">
        <x:v>3</x:v>
      </x:c>
      <x:c r="E5" s="16" t="n">
        <x:v>209970</x:v>
      </x:c>
      <x:c r="F5" s="14" t="str">
        <x:v>Marketplace</x:v>
      </x:c>
      <x:c r="G5" s="14" t="str"/>
      <x:c r="H5" s="14" t="str">
        <x:v>C-015</x:v>
      </x:c>
      <x:c r="I5" s="14" t="str">
        <x:v>Mayorista</x:v>
      </x:c>
      <x:c r="J5" s="14" t="str">
        <x:v>VEN-04</x:v>
      </x:c>
    </x:row>
    <x:row r="6">
      <x:c r="A6" s="14" t="str">
        <x:v>V-FEB-005</x:v>
      </x:c>
      <x:c r="B6" s="14" t="str">
        <x:v>10/02/2026</x:v>
      </x:c>
      <x:c r="C6" s="14" t="str">
        <x:v>P-003</x:v>
      </x:c>
      <x:c r="D6" s="14" t="n">
        <x:v>2</x:v>
      </x:c>
      <x:c r="E6" s="16" t="n">
        <x:v>99980</x:v>
      </x:c>
      <x:c r="F6" s="14" t="str">
        <x:v>online </x:v>
      </x:c>
      <x:c r="G6" s="14" t="str"/>
      <x:c r="H6" s="14" t="str">
        <x:v>C-016</x:v>
      </x:c>
      <x:c r="I6" s="14" t="str">
        <x:v>Persona</x:v>
      </x:c>
      <x:c r="J6" s="14" t="str">
        <x:v>VEN-01</x:v>
      </x:c>
    </x:row>
    <x:row r="7">
      <x:c r="A7" s="14" t="str">
        <x:v>V-FEB-006</x:v>
      </x:c>
      <x:c r="B7" s="14" t="str">
        <x:v>2026-02-14</x:v>
      </x:c>
      <x:c r="C7" s="14" t="str">
        <x:v>P-008</x:v>
      </x:c>
      <x:c r="D7" s="14" t="n">
        <x:v>1</x:v>
      </x:c>
      <x:c r="E7" s="16" t="n">
        <x:v>459990</x:v>
      </x:c>
      <x:c r="F7" s="14" t="str">
        <x:v>Tienda </x:v>
      </x:c>
      <x:c r="G7" s="14" t="str">
        <x:v>Sur</x:v>
      </x:c>
      <x:c r="H7" s="14" t="str">
        <x:v>C-017</x:v>
      </x:c>
      <x:c r="I7" s="14" t="str">
        <x:v>Empresa</x:v>
      </x:c>
      <x:c r="J7" s="14" t="str">
        <x:v>VEN-03</x:v>
      </x:c>
    </x:row>
    <x:row r="8">
      <x:c r="A8" s="14" t="str">
        <x:v>V-FEB-007</x:v>
      </x:c>
      <x:c r="B8" s="14" t="str">
        <x:v>17-02-2026</x:v>
      </x:c>
      <x:c r="C8" s="14" t="str">
        <x:v>P-007</x:v>
      </x:c>
      <x:c r="D8" s="14" t="n">
        <x:v>4</x:v>
      </x:c>
      <x:c r="E8" s="16" t="n">
        <x:v>159960</x:v>
      </x:c>
      <x:c r="F8" s="14" t="str">
        <x:v>Marketplace</x:v>
      </x:c>
      <x:c r="G8" s="14" t="str"/>
      <x:c r="H8" s="14" t="str">
        <x:v>C-018</x:v>
      </x:c>
      <x:c r="I8" s="14" t="str">
        <x:v>Mayorista</x:v>
      </x:c>
      <x:c r="J8" s="14" t="str">
        <x:v>VEN-02</x:v>
      </x:c>
    </x:row>
    <x:row r="9">
      <x:c r="A9" s="14" t="str">
        <x:v>V-FEB-008</x:v>
      </x:c>
      <x:c r="B9" s="14" t="str">
        <x:v>20/02/2026</x:v>
      </x:c>
      <x:c r="C9" s="14" t="str">
        <x:v>P-005</x:v>
      </x:c>
      <x:c r="D9" s="14" t="n">
        <x:v>2</x:v>
      </x:c>
      <x:c r="E9" s="16" t="n">
        <x:v>59980</x:v>
      </x:c>
      <x:c r="F9" s="14" t="str">
        <x:v>ONLINE</x:v>
      </x:c>
      <x:c r="G9" s="14" t="str"/>
      <x:c r="H9" s="14" t="str"/>
      <x:c r="I9" s="14" t="str">
        <x:v>Persona</x:v>
      </x:c>
      <x:c r="J9" s="14" t="str">
        <x:v>VEN-01</x:v>
      </x:c>
    </x:row>
    <x:row r="10">
      <x:c r="A10" s="14" t="str">
        <x:v>V-FEB-009</x:v>
      </x:c>
      <x:c r="B10" s="14" t="str">
        <x:v>2026/02/23</x:v>
      </x:c>
      <x:c r="C10" s="14" t="str">
        <x:v>P-001</x:v>
      </x:c>
      <x:c r="D10" s="14" t="n">
        <x:v>3</x:v>
      </x:c>
      <x:c r="E10" s="16" t="n">
        <x:v>269970</x:v>
      </x:c>
      <x:c r="F10" s="14" t="str">
        <x:v>Tienda</x:v>
      </x:c>
      <x:c r="G10" s="14" t="str">
        <x:v>Centro</x:v>
      </x:c>
      <x:c r="H10" s="14" t="str">
        <x:v>C-019</x:v>
      </x:c>
      <x:c r="I10" s="14" t="str">
        <x:v>Empresa</x:v>
      </x:c>
      <x:c r="J10" s="14" t="str">
        <x:v>VEN-04</x:v>
      </x:c>
    </x:row>
    <x:row r="11">
      <x:c r="A11" s="14" t="str">
        <x:v>V-FEB-010</x:v>
      </x:c>
      <x:c r="B11" s="14" t="str">
        <x:v>26-02-2026</x:v>
      </x:c>
      <x:c r="C11" s="14" t="str">
        <x:v>P-002</x:v>
      </x:c>
      <x:c r="D11" s="14" t="n">
        <x:v>2</x:v>
      </x:c>
      <x:c r="E11" s="16" t="n">
        <x:v>499980</x:v>
      </x:c>
      <x:c r="F11" s="14" t="str">
        <x:v>Marketplace </x:v>
      </x:c>
      <x:c r="G11" s="14" t="str"/>
      <x:c r="H11" s="14" t="str">
        <x:v>C-020</x:v>
      </x:c>
      <x:c r="I11" s="14" t="str">
        <x:v>Mayorista</x:v>
      </x:c>
      <x:c r="J11" s="14" t="str">
        <x:v>VEN-02</x:v>
      </x:c>
    </x:row>
    <x:row r="12">
      <x:c r="A12" s="14" t="str">
        <x:v>V-FEB-011</x:v>
      </x:c>
      <x:c r="B12" s="14" t="str">
        <x:v>28/02/2026</x:v>
      </x:c>
      <x:c r="C12" s="14" t="str">
        <x:v>P-004</x:v>
      </x:c>
      <x:c r="D12" s="14" t="n">
        <x:v>1</x:v>
      </x:c>
      <x:c r="E12" s="16" t="n">
        <x:v>329990</x:v>
      </x:c>
      <x:c r="F12" s="14" t="str">
        <x:v>Tienda</x:v>
      </x:c>
      <x:c r="G12" s="14" t="str">
        <x:v>Norte</x:v>
      </x:c>
      <x:c r="H12" s="14" t="str">
        <x:v>C-021</x:v>
      </x:c>
      <x:c r="I12" s="14" t="str">
        <x:v>Persona</x:v>
      </x:c>
      <x:c r="J12" s="14" t="str">
        <x:v>VEN-03</x:v>
      </x:c>
    </x:row>
  </x:sheetData>
  <x:conditionalFormatting sqref="F2:F12">
    <x:cfRule type="expression" dxfId="2" priority="1">
      <x:formula>OR(F2="online ",F2="ONLINE",F2="TIENDA",F2="Tienda ",F2="Marketplace ")</x:formula>
    </x:cfRule>
  </x:conditionalFormatting>
  <x:conditionalFormatting sqref="H2:H12">
    <x:cfRule type="expression" dxfId="3" priority="2">
      <x:formula>H2=""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d3da71989f4e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1" hidden="0" customWidth="1"/>
    <x:col min="5" max="5" width="15" hidden="0" customWidth="1"/>
    <x:col min="6" max="6" width="15" hidden="0" customWidth="1"/>
  </x:cols>
  <x:sheetData>
    <x:row r="1" ht="25" customHeight="1">
      <x:c r="A1" s="10" t="str">
        <x:v>ID_Producto</x:v>
      </x:c>
      <x:c r="B1" s="10" t="str">
        <x:v>Producto</x:v>
      </x:c>
      <x:c r="C1" s="10" t="str">
        <x:v>Categoria</x:v>
      </x:c>
      <x:c r="D1" s="10" t="str">
        <x:v>Costo_Unitario</x:v>
      </x:c>
      <x:c r="E1" s="10" t="str">
        <x:v>Marca</x:v>
      </x:c>
      <x:c r="F1" s="10" t="str">
        <x:v>Estado</x:v>
      </x:c>
    </x:row>
    <x:row r="2">
      <x:c r="A2" s="14" t="str">
        <x:v>P-001</x:v>
      </x:c>
      <x:c r="B2" s="14" t="str">
        <x:v>Audífonos Bluetooth</x:v>
      </x:c>
      <x:c r="C2" s="14" t="str">
        <x:v>Audio</x:v>
      </x:c>
      <x:c r="D2" s="16" t="n">
        <x:v>52000</x:v>
      </x:c>
      <x:c r="E2" s="14" t="str">
        <x:v>NovaSound</x:v>
      </x:c>
      <x:c r="F2" s="14" t="str">
        <x:v>Activo</x:v>
      </x:c>
    </x:row>
    <x:row r="3">
      <x:c r="A3" s="14" t="str">
        <x:v>P-002</x:v>
      </x:c>
      <x:c r="B3" s="14" t="str">
        <x:v>Smartwatch Fit</x:v>
      </x:c>
      <x:c r="C3" s="14" t="str">
        <x:v>Wearables</x:v>
      </x:c>
      <x:c r="D3" s="16" t="n">
        <x:v>145000</x:v>
      </x:c>
      <x:c r="E3" s="14" t="str">
        <x:v>VitaTech</x:v>
      </x:c>
      <x:c r="F3" s="14" t="str">
        <x:v>Activo</x:v>
      </x:c>
    </x:row>
    <x:row r="4">
      <x:c r="A4" s="14" t="str">
        <x:v>P-003</x:v>
      </x:c>
      <x:c r="B4" s="14" t="str">
        <x:v>Cargador USB-C 65W</x:v>
      </x:c>
      <x:c r="C4" s="14" t="str">
        <x:v>Accesorios</x:v>
      </x:c>
      <x:c r="D4" s="16" t="n">
        <x:v>28000</x:v>
      </x:c>
      <x:c r="E4" s="14" t="str">
        <x:v>Voltix</x:v>
      </x:c>
      <x:c r="F4" s="14" t="str">
        <x:v>Activo</x:v>
      </x:c>
    </x:row>
    <x:row r="5">
      <x:c r="A5" s="14" t="str">
        <x:v>P-004</x:v>
      </x:c>
      <x:c r="B5" s="14" t="str">
        <x:v>Tablet 10 pulgadas</x:v>
      </x:c>
      <x:c r="C5" s="14" t="str">
        <x:v>Computación</x:v>
      </x:c>
      <x:c r="D5" s="16" t="n">
        <x:v>215000</x:v>
      </x:c>
      <x:c r="E5" s="14" t="str">
        <x:v>Nexo</x:v>
      </x:c>
      <x:c r="F5" s="14" t="str">
        <x:v>Activo</x:v>
      </x:c>
    </x:row>
    <x:row r="6">
      <x:c r="A6" s="14" t="str">
        <x:v>P-005</x:v>
      </x:c>
      <x:c r="B6" s="14" t="str">
        <x:v>Cable USB-C reforzado</x:v>
      </x:c>
      <x:c r="C6" s="14" t="str">
        <x:v>Accesorios</x:v>
      </x:c>
      <x:c r="D6" s="16" t="n">
        <x:v>8500</x:v>
      </x:c>
      <x:c r="E6" s="14" t="str">
        <x:v>Voltix</x:v>
      </x:c>
      <x:c r="F6" s="14" t="str">
        <x:v>Activo</x:v>
      </x:c>
    </x:row>
    <x:row r="7">
      <x:c r="A7" s="14" t="str">
        <x:v>P-006</x:v>
      </x:c>
      <x:c r="B7" s="14" t="str">
        <x:v>Parlante portátil</x:v>
      </x:c>
      <x:c r="C7" s="14" t="str">
        <x:v>Audio</x:v>
      </x:c>
      <x:c r="D7" s="16" t="n">
        <x:v>42000</x:v>
      </x:c>
      <x:c r="E7" s="14" t="str">
        <x:v>NovaSound</x:v>
      </x:c>
      <x:c r="F7" s="14" t="str">
        <x:v>Activo</x:v>
      </x:c>
    </x:row>
    <x:row r="8">
      <x:c r="A8" s="14" t="str">
        <x:v>P-007</x:v>
      </x:c>
      <x:c r="B8" s="14" t="str">
        <x:v>Mouse inalámbrico</x:v>
      </x:c>
      <x:c r="C8" s="14" t="str">
        <x:v>Computación</x:v>
      </x:c>
      <x:c r="D8" s="16" t="n">
        <x:v>18000</x:v>
      </x:c>
      <x:c r="E8" s="14" t="str">
        <x:v>Nexo</x:v>
      </x:c>
      <x:c r="F8" s="14" t="str">
        <x:v>Activo</x:v>
      </x:c>
    </x:row>
    <x:row r="9">
      <x:c r="A9" s="14" t="str">
        <x:v>P-008</x:v>
      </x:c>
      <x:c r="B9" s="14" t="str">
        <x:v>Monitor 27 pulgadas</x:v>
      </x:c>
      <x:c r="C9" s="14" t="str">
        <x:v>Computación</x:v>
      </x:c>
      <x:c r="D9" s="16" t="n">
        <x:v>320000</x:v>
      </x:c>
      <x:c r="E9" s="14" t="str">
        <x:v>Nexo</x:v>
      </x:c>
      <x:c r="F9" s="14" t="str">
        <x:v>Activo</x:v>
      </x:c>
    </x:row>
  </x:sheetData>
  <x:conditionalFormatting sqref="A2:A9">
    <x:cfRule type="expression" dxfId="4" priority="1">
      <x:formula>COUNTIF($A$2:$A$9,A2)&gt;1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0aaf207dfd4e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1" hidden="0" customWidth="1"/>
    <x:col min="5" max="5" width="15" hidden="0" customWidth="1"/>
    <x:col min="6" max="6" width="15" hidden="0" customWidth="1"/>
  </x:cols>
  <x:sheetData>
    <x:row r="1" ht="25" customHeight="1">
      <x:c r="A1" s="10" t="str">
        <x:v>ID_Promocion</x:v>
      </x:c>
      <x:c r="B1" s="10" t="str">
        <x:v>ID_Producto</x:v>
      </x:c>
      <x:c r="C1" s="10" t="str">
        <x:v>Canal</x:v>
      </x:c>
      <x:c r="D1" s="10" t="str">
        <x:v>Descuento_Pct</x:v>
      </x:c>
      <x:c r="E1" s="10" t="str">
        <x:v>Inicio</x:v>
      </x:c>
      <x:c r="F1" s="10" t="str">
        <x:v>Fin</x:v>
      </x:c>
    </x:row>
    <x:row r="2">
      <x:c r="A2" s="14" t="str">
        <x:v>PR-001</x:v>
      </x:c>
      <x:c r="B2" s="14" t="str">
        <x:v>P-001</x:v>
      </x:c>
      <x:c r="C2" s="14" t="str">
        <x:v>Online</x:v>
      </x:c>
      <x:c r="D2" s="18" t="n">
        <x:v>10</x:v>
      </x:c>
      <x:c r="E2" s="14" t="str">
        <x:v>01/01/2026</x:v>
      </x:c>
      <x:c r="F2" s="14" t="str">
        <x:v>15/01/2026</x:v>
      </x:c>
    </x:row>
    <x:row r="3">
      <x:c r="A3" s="14" t="str">
        <x:v>PR-002</x:v>
      </x:c>
      <x:c r="B3" s="14" t="str">
        <x:v>P-001</x:v>
      </x:c>
      <x:c r="C3" s="14" t="str">
        <x:v>Marketplace</x:v>
      </x:c>
      <x:c r="D3" s="18" t="n">
        <x:v>8</x:v>
      </x:c>
      <x:c r="E3" s="14" t="str">
        <x:v>16/01/2026</x:v>
      </x:c>
      <x:c r="F3" s="14" t="str">
        <x:v>31/01/2026</x:v>
      </x:c>
    </x:row>
    <x:row r="4">
      <x:c r="A4" s="14" t="str">
        <x:v>PR-003</x:v>
      </x:c>
      <x:c r="B4" s="14" t="str">
        <x:v>P-002</x:v>
      </x:c>
      <x:c r="C4" s="14" t="str">
        <x:v>Tienda</x:v>
      </x:c>
      <x:c r="D4" s="18" t="n">
        <x:v>12</x:v>
      </x:c>
      <x:c r="E4" s="14" t="str">
        <x:v>01/01/2026</x:v>
      </x:c>
      <x:c r="F4" s="14" t="str">
        <x:v>20/01/2026</x:v>
      </x:c>
    </x:row>
    <x:row r="5">
      <x:c r="A5" s="14" t="str">
        <x:v>PR-004</x:v>
      </x:c>
      <x:c r="B5" s="14" t="str">
        <x:v>P-002</x:v>
      </x:c>
      <x:c r="C5" s="14" t="str">
        <x:v>Online</x:v>
      </x:c>
      <x:c r="D5" s="18" t="n">
        <x:v>5</x:v>
      </x:c>
      <x:c r="E5" s="14" t="str">
        <x:v>21/01/2026</x:v>
      </x:c>
      <x:c r="F5" s="14" t="str">
        <x:v>10/02/2026</x:v>
      </x:c>
    </x:row>
    <x:row r="6">
      <x:c r="A6" s="14" t="str">
        <x:v>PR-005</x:v>
      </x:c>
      <x:c r="B6" s="14" t="str">
        <x:v>P-003</x:v>
      </x:c>
      <x:c r="C6" s="14" t="str">
        <x:v>Online</x:v>
      </x:c>
      <x:c r="D6" s="18" t="n">
        <x:v>15</x:v>
      </x:c>
      <x:c r="E6" s="14" t="str">
        <x:v>01/02/2026</x:v>
      </x:c>
      <x:c r="F6" s="14" t="str">
        <x:v>14/02/2026</x:v>
      </x:c>
    </x:row>
    <x:row r="7">
      <x:c r="A7" s="14" t="str">
        <x:v>PR-006</x:v>
      </x:c>
      <x:c r="B7" s="14" t="str">
        <x:v>P-003</x:v>
      </x:c>
      <x:c r="C7" s="14" t="str">
        <x:v>Marketplace</x:v>
      </x:c>
      <x:c r="D7" s="18" t="n">
        <x:v>10</x:v>
      </x:c>
      <x:c r="E7" s="14" t="str">
        <x:v>15/02/2026</x:v>
      </x:c>
      <x:c r="F7" s="14" t="str">
        <x:v>28/02/2026</x:v>
      </x:c>
    </x:row>
    <x:row r="8">
      <x:c r="A8" s="14" t="str">
        <x:v>PR-007</x:v>
      </x:c>
      <x:c r="B8" s="14" t="str">
        <x:v>P-004</x:v>
      </x:c>
      <x:c r="C8" s="14" t="str">
        <x:v>Tienda</x:v>
      </x:c>
      <x:c r="D8" s="18" t="n">
        <x:v>7</x:v>
      </x:c>
      <x:c r="E8" s="14" t="str">
        <x:v>01/01/2026</x:v>
      </x:c>
      <x:c r="F8" s="14" t="str">
        <x:v>31/01/2026</x:v>
      </x:c>
    </x:row>
    <x:row r="9">
      <x:c r="A9" s="14" t="str">
        <x:v>PR-008</x:v>
      </x:c>
      <x:c r="B9" s="14" t="str">
        <x:v>P-004</x:v>
      </x:c>
      <x:c r="C9" s="14" t="str">
        <x:v>Tienda</x:v>
      </x:c>
      <x:c r="D9" s="18" t="n">
        <x:v>6</x:v>
      </x:c>
      <x:c r="E9" s="14" t="str">
        <x:v>01/02/2026</x:v>
      </x:c>
      <x:c r="F9" s="14" t="str">
        <x:v>28/02/2026</x:v>
      </x:c>
    </x:row>
    <x:row r="10">
      <x:c r="A10" s="14" t="str">
        <x:v>PR-009</x:v>
      </x:c>
      <x:c r="B10" s="14" t="str">
        <x:v>P-005</x:v>
      </x:c>
      <x:c r="C10" s="14" t="str">
        <x:v>Marketplace</x:v>
      </x:c>
      <x:c r="D10" s="18" t="n">
        <x:v>20</x:v>
      </x:c>
      <x:c r="E10" s="14" t="str">
        <x:v>01/01/2026</x:v>
      </x:c>
      <x:c r="F10" s="14" t="str">
        <x:v>31/01/2026</x:v>
      </x:c>
    </x:row>
    <x:row r="11">
      <x:c r="A11" s="14" t="str">
        <x:v>PR-010</x:v>
      </x:c>
      <x:c r="B11" s="14" t="str">
        <x:v>P-005</x:v>
      </x:c>
      <x:c r="C11" s="14" t="str">
        <x:v>Online</x:v>
      </x:c>
      <x:c r="D11" s="18" t="n">
        <x:v>18</x:v>
      </x:c>
      <x:c r="E11" s="14" t="str">
        <x:v>01/02/2026</x:v>
      </x:c>
      <x:c r="F11" s="14" t="str">
        <x:v>28/02/2026</x:v>
      </x:c>
    </x:row>
    <x:row r="12">
      <x:c r="A12" s="14" t="str">
        <x:v>PR-011</x:v>
      </x:c>
      <x:c r="B12" s="14" t="str">
        <x:v>P-006</x:v>
      </x:c>
      <x:c r="C12" s="14" t="str">
        <x:v>Tienda</x:v>
      </x:c>
      <x:c r="D12" s="18" t="n">
        <x:v>9</x:v>
      </x:c>
      <x:c r="E12" s="14" t="str">
        <x:v>01/02/2026</x:v>
      </x:c>
      <x:c r="F12" s="14" t="str">
        <x:v>15/02/2026</x:v>
      </x:c>
    </x:row>
    <x:row r="13">
      <x:c r="A13" s="14" t="str">
        <x:v>PR-012</x:v>
      </x:c>
      <x:c r="B13" s="14" t="str">
        <x:v>P-006</x:v>
      </x:c>
      <x:c r="C13" s="14" t="str">
        <x:v>Online</x:v>
      </x:c>
      <x:c r="D13" s="18" t="n">
        <x:v>11</x:v>
      </x:c>
      <x:c r="E13" s="14" t="str">
        <x:v>16/02/2026</x:v>
      </x:c>
      <x:c r="F13" s="14" t="str">
        <x:v>28/02/2026</x:v>
      </x:c>
    </x:row>
  </x:sheetData>
  <x:conditionalFormatting sqref="B2:B13">
    <x:cfRule type="expression" dxfId="5" priority="1">
      <x:formula>COUNTIF($B$2:$B$13,B2)&gt;1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044b5454c441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34" hidden="0" customWidth="1"/>
    <x:col min="5" max="5" width="14" hidden="0" customWidth="1"/>
    <x:col min="6" max="6" width="24" hidden="0" customWidth="1"/>
  </x:cols>
  <x:sheetData>
    <x:row r="1" ht="32" customHeight="1">
      <x:c r="A1" s="22" t="str">
        <x:v>Archivo de prueba — Fase 17 Multihoja</x:v>
      </x:c>
      <x:c r="B1" s="22"/>
      <x:c r="C1" s="22"/>
      <x:c r="D1" s="22"/>
      <x:c r="E1" s="22"/>
      <x:c r="F1" s="22"/>
    </x:row>
    <x:row r="3">
      <x:c r="A3" s="29" t="str">
        <x:v>Prueba</x:v>
      </x:c>
      <x:c r="B3" s="29" t="str">
        <x:v>Hojas</x:v>
      </x:c>
      <x:c r="C3" s="29" t="str">
        <x:v>Resultado esperado</x:v>
      </x:c>
      <x:c r="D3" s="29" t="str">
        <x:v>Qué revisar</x:v>
      </x:c>
      <x:c r="E3" s="29" t="str">
        <x:v>Estado</x:v>
      </x:c>
      <x:c r="F3" s="29" t="str">
        <x:v>Notas</x:v>
      </x:c>
    </x:row>
    <x:row r="4">
      <x:c r="A4" s="34" t="str">
        <x:v>Procesamiento selectivo</x:v>
      </x:c>
      <x:c r="B4" s="34" t="str">
        <x:v>Ventas_Enero, Ventas_Febrero, Productos</x:v>
      </x:c>
      <x:c r="C4" s="34" t="str">
        <x:v>Se procesan las 3; esta hoja queda intacta</x:v>
      </x:c>
      <x:c r="D4" s="34" t="str">
        <x:v>Selección por hojas</x:v>
      </x:c>
      <x:c r="E4" s="34" t="str">
        <x:v>Pendiente</x:v>
      </x:c>
      <x:c r="F4" s="34" t="str"/>
    </x:row>
    <x:row r="5">
      <x:c r="A5" s="34" t="str">
        <x:v>Apilado</x:v>
      </x:c>
      <x:c r="B5" s="34" t="str">
        <x:v>Ventas_Enero + Ventas_Febrero</x:v>
      </x:c>
      <x:c r="C5" s="34" t="str">
        <x:v>Se crea un análisis conjunto con hoja_origen</x:v>
      </x:c>
      <x:c r="D5" s="34" t="str">
        <x:v>Mismas columnas y tipos</x:v>
      </x:c>
      <x:c r="E5" s="34" t="str">
        <x:v>Pendiente</x:v>
      </x:c>
      <x:c r="F5" s="34" t="str"/>
    </x:row>
    <x:row r="6">
      <x:c r="A6" s="34" t="str">
        <x:v>Relación segura</x:v>
      </x:c>
      <x:c r="B6" s="34" t="str">
        <x:v>Ventas_Enero + Productos</x:v>
      </x:c>
      <x:c r="C6" s="34" t="str">
        <x:v>ID_Producto detectado como many-to-one</x:v>
      </x:c>
      <x:c r="D6" s="34" t="str">
        <x:v>Filas y totales no deben cambiar</x:v>
      </x:c>
      <x:c r="E6" s="34" t="str">
        <x:v>Pendiente</x:v>
      </x:c>
      <x:c r="F6" s="34" t="str"/>
    </x:row>
    <x:row r="7">
      <x:c r="A7" s="34" t="str">
        <x:v>Relación insegura</x:v>
      </x:c>
      <x:c r="B7" s="34" t="str">
        <x:v>Ventas_Enero + Promociones</x:v>
      </x:c>
      <x:c r="C7" s="34" t="str">
        <x:v>La plataforma debe bloquear many-to-many</x:v>
      </x:c>
      <x:c r="D7" s="34" t="str">
        <x:v>No permitir unión</x:v>
      </x:c>
      <x:c r="E7" s="34" t="str">
        <x:v>Pendiente</x:v>
      </x:c>
      <x:c r="F7" s="34" t="str"/>
    </x:row>
    <x:row r="8">
      <x:c r="A8" s="34" t="str">
        <x:v>Mapeo semántico</x:v>
      </x:c>
      <x:c r="B8" s="34" t="str">
        <x:v>Ventas_Enero</x:v>
      </x:c>
      <x:c r="C8" s="34" t="str">
        <x:v>TipoCliente no debe ser Categoría de producto</x:v>
      </x:c>
      <x:c r="D8" s="34" t="str">
        <x:v>Plan Básico sin método/confianza</x:v>
      </x:c>
      <x:c r="E8" s="34" t="str">
        <x:v>Pendiente</x:v>
      </x:c>
      <x:c r="F8" s="34" t="str"/>
    </x:row>
    <x:row r="9">
      <x:c r="A9" s="34" t="str">
        <x:v>Descarga XLSX</x:v>
      </x:c>
      <x:c r="B9" s="34" t="str">
        <x:v>Libro completo</x:v>
      </x:c>
      <x:c r="C9" s="34" t="str">
        <x:v>Conserva todas las hojas y esta hoja sin cambios</x:v>
      </x:c>
      <x:c r="D9" s="34" t="str">
        <x:v>Orden, fórmulas y contenido</x:v>
      </x:c>
      <x:c r="E9" s="34" t="str">
        <x:v>Pendiente</x:v>
      </x:c>
      <x:c r="F9" s="34" t="str"/>
    </x:row>
    <x:row r="10">
      <x:c r="A10" s="34" t="str">
        <x:v>Restauración</x:v>
      </x:c>
      <x:c r="B10" s="34" t="str">
        <x:v>Sesión completa</x:v>
      </x:c>
      <x:c r="C10" s="34" t="str">
        <x:v>Al recargar conserva selección y alcance</x:v>
      </x:c>
      <x:c r="D10" s="34" t="str">
        <x:v>Hoja activa y análisis</x:v>
      </x:c>
      <x:c r="E10" s="34" t="str">
        <x:v>Pendiente</x:v>
      </x:c>
      <x:c r="F10" s="34" t="str"/>
    </x:row>
    <x:row r="12">
      <x:c r="A12" s="10" t="str">
        <x:v>Control</x:v>
      </x:c>
      <x:c r="B12" s="10" t="str">
        <x:v>Valor</x:v>
      </x:c>
    </x:row>
    <x:row r="13">
      <x:c r="A13" s="11" t="str">
        <x:v>Total bruto Enero</x:v>
      </x:c>
      <x:c r="B13" s="38" t="n">
        <x:f>SUM(Ventas_Enero!E2:E14)</x:f>
        <x:v>2699700</x:v>
      </x:c>
    </x:row>
    <x:row r="14">
      <x:c r="A14" s="11" t="str">
        <x:v>Total bruto Febrero</x:v>
      </x:c>
      <x:c r="B14" s="38" t="n">
        <x:f>SUM(Ventas_Febrero!E2:E12)</x:f>
        <x:v>3089780</x:v>
      </x:c>
    </x:row>
    <x:row r="15">
      <x:c r="A15" s="11" t="str">
        <x:v>Total bruto libro</x:v>
      </x:c>
      <x:c r="B15" s="38" t="n">
        <x:f>B13+B14</x:f>
        <x:v>5789480</x:v>
      </x:c>
    </x:row>
  </x:sheetData>
  <x:mergeCells>
    <x:mergeCell ref="A1:F1"/>
  </x:mergeCells>
  <x:conditionalFormatting sqref="E4:E10">
    <x:cfRule type="expression" dxfId="6" priority="1">
      <x:formula>E4="Aprobado"</x:formula>
    </x:cfRule>
    <x:cfRule type="expression" dxfId="7" priority="2">
      <x:formula>E4="Falló"</x:formula>
    </x:cfRule>
    <x:cfRule type="expression" dxfId="8" priority="3">
      <x:formula>E4="Pendiente"</x:formula>
    </x:cfRule>
  </x:conditionalFormatting>
  <x:dataValidations count="1">
    <x:dataValidation type="list" sqref="E4:E10">
      <x:formula1>"Pendiente,Aprobado,Falló"</x:formula1>
    </x:dataValidation>
  </x:dataValidations>
  <x:pageMargins left="0.7" right="0.7" top="0.75" bottom="0.75" header="0.3" footer="0.3"/>
</x:worksheet>
</file>